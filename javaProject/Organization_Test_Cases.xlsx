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w folder (2)\Java2\finalAssignment\OrganizationManagement\"/>
    </mc:Choice>
  </mc:AlternateContent>
  <xr:revisionPtr revIDLastSave="0" documentId="13_ncr:1_{CA2E8B42-AD98-4F48-A153-11CFDB10A1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definedNames>
    <definedName name="_xlnm._FilterDatabase" localSheetId="0" hidden="1">'Test Cases'!$A$4:$K$46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C55" i="1" l="1"/>
  <c r="C52" i="1"/>
  <c r="C53" i="1"/>
  <c r="C54" i="1"/>
</calcChain>
</file>

<file path=xl/sharedStrings.xml><?xml version="1.0" encoding="utf-8"?>
<sst xmlns="http://schemas.openxmlformats.org/spreadsheetml/2006/main" count="443" uniqueCount="223">
  <si>
    <t>Organization Chart Project - Test Cases</t>
  </si>
  <si>
    <t>Test Case ID</t>
  </si>
  <si>
    <t>Requirement ID</t>
  </si>
  <si>
    <t>Priority</t>
  </si>
  <si>
    <t>Severity</t>
  </si>
  <si>
    <t>Description</t>
  </si>
  <si>
    <t>Test Steps</t>
  </si>
  <si>
    <t>Expected Result</t>
  </si>
  <si>
    <t>Actual Result</t>
  </si>
  <si>
    <t>Test Status</t>
  </si>
  <si>
    <t>Tested By</t>
  </si>
  <si>
    <t>Comments</t>
  </si>
  <si>
    <t>TC-001</t>
  </si>
  <si>
    <t>REQ-1P</t>
  </si>
  <si>
    <t>High</t>
  </si>
  <si>
    <t>Critical</t>
  </si>
  <si>
    <t>Menu displays correctly on startup</t>
  </si>
  <si>
    <t>Run application, check console output</t>
  </si>
  <si>
    <t>Menu shows title, dashes, options 1-3, Q, and 'Your choice:' prompt</t>
  </si>
  <si>
    <t>Menu displays exactly as specified</t>
  </si>
  <si>
    <t>Passed</t>
  </si>
  <si>
    <t>TC-002</t>
  </si>
  <si>
    <t>Quit with lowercase 'q'</t>
  </si>
  <si>
    <t>Run app, type 'q' at menu</t>
  </si>
  <si>
    <t>Application exits with exit code 0</t>
  </si>
  <si>
    <t>Program exits cleanly</t>
  </si>
  <si>
    <t>TC-003</t>
  </si>
  <si>
    <t>Quit with uppercase 'Q'</t>
  </si>
  <si>
    <t>Run app, type 'Q' at menu</t>
  </si>
  <si>
    <t>TC-004</t>
  </si>
  <si>
    <t>Major</t>
  </si>
  <si>
    <t>Menu loops after valid choice</t>
  </si>
  <si>
    <t>Choose option 1, check menu reappears</t>
  </si>
  <si>
    <t>Menu is displayed again after action completes</t>
  </si>
  <si>
    <t>Menu loops back correctly</t>
  </si>
  <si>
    <t>TC-005</t>
  </si>
  <si>
    <t>Medium</t>
  </si>
  <si>
    <t>Minor</t>
  </si>
  <si>
    <t>Menu loops continuously for multiple choices</t>
  </si>
  <si>
    <t>Make several choices (1, 1, 1) then quit</t>
  </si>
  <si>
    <t>Menu appears after each action, quit works after multiple loops</t>
  </si>
  <si>
    <t>Menu keeps looping, quit works</t>
  </si>
  <si>
    <t>TC-006</t>
  </si>
  <si>
    <t>REQ-2P</t>
  </si>
  <si>
    <t>Option 1 creates and prints organization</t>
  </si>
  <si>
    <t>Choose 1 from menu</t>
  </si>
  <si>
    <t>Full organization tree printed with all groups and workers</t>
  </si>
  <si>
    <t>Organization prints correctly</t>
  </si>
  <si>
    <t>TC-007</t>
  </si>
  <si>
    <t>Top management group is root</t>
  </si>
  <si>
    <t>Choose 1, check first line of output</t>
  </si>
  <si>
    <t>Group: Top management, boss's name: Scrooge McDuck</t>
  </si>
  <si>
    <t>Top management prints as root</t>
  </si>
  <si>
    <t>TC-008</t>
  </si>
  <si>
    <t>Secretary worker under top management</t>
  </si>
  <si>
    <t>Choose 1, check second line</t>
  </si>
  <si>
    <t xml:space="preserve">    Worker: Grandma Duck (secretary) with 4-space indent</t>
  </si>
  <si>
    <t>Grandma Duck with secretary role prints correctly</t>
  </si>
  <si>
    <t>TC-009</t>
  </si>
  <si>
    <t>Marketing group with correct boss and worker</t>
  </si>
  <si>
    <t>Choose 1, check Marketing section</t>
  </si>
  <si>
    <t>Group: Marketing, boss's name: Donald Duck with Worker: Gus Goose below</t>
  </si>
  <si>
    <t>Marketing group prints correctly</t>
  </si>
  <si>
    <t>TC-010</t>
  </si>
  <si>
    <t>Software Development group with 3 workers</t>
  </si>
  <si>
    <t>Choose 1, check SW Dev section</t>
  </si>
  <si>
    <t>Group with Daisy Duck as boss, workers: Huey, Dewey, Louie Duck</t>
  </si>
  <si>
    <t>SW Dev group prints correctly with all 3 workers</t>
  </si>
  <si>
    <t>TC-011</t>
  </si>
  <si>
    <t>Customer Support group with 3 workers</t>
  </si>
  <si>
    <t>Choose 1, check Customer Support section</t>
  </si>
  <si>
    <t>Group with Gladstone Gander as boss, workers: Gyro, Magica, Launchpad</t>
  </si>
  <si>
    <t>Customer Support prints correctly</t>
  </si>
  <si>
    <t>TC-012</t>
  </si>
  <si>
    <t>Indentation is 4 spaces per level</t>
  </si>
  <si>
    <t>Choose 1, count spaces before workers</t>
  </si>
  <si>
    <t>Workers indented 4 spaces under their group, subgroups 4 spaces under parent</t>
  </si>
  <si>
    <t>4-space indentation verified</t>
  </si>
  <si>
    <t>TC-013</t>
  </si>
  <si>
    <t>Blank line before each subgroup</t>
  </si>
  <si>
    <t>Choose 1, check spacing between groups</t>
  </si>
  <si>
    <t>Empty line printed before Marketing, SW Dev, Customer Support groups</t>
  </si>
  <si>
    <t>Blank lines present before subgroups</t>
  </si>
  <si>
    <t>TC-014</t>
  </si>
  <si>
    <t>Option 1 can be called multiple times</t>
  </si>
  <si>
    <t>Choose 1 twice in a row</t>
  </si>
  <si>
    <t>Organization is recreated and printed fresh each time</t>
  </si>
  <si>
    <t>Works correctly on repeated calls</t>
  </si>
  <si>
    <t>TC-015</t>
  </si>
  <si>
    <t>REQ-3P</t>
  </si>
  <si>
    <t>Add worker to Marketing group</t>
  </si>
  <si>
    <t>Choose 1, then 2, enter 'Marketing' and 'Erkki Hietalahti'</t>
  </si>
  <si>
    <t>Erkki Hietalahti appears under Marketing after Gus Goose</t>
  </si>
  <si>
    <t>Worker added correctly to Marketing</t>
  </si>
  <si>
    <t>TC-016</t>
  </si>
  <si>
    <t>Option 2 prints org before asking input</t>
  </si>
  <si>
    <t>Choose 1, then 2, check output order</t>
  </si>
  <si>
    <t>Organization printed first, then 'Give unit name:' prompt</t>
  </si>
  <si>
    <t>Org prints before prompts</t>
  </si>
  <si>
    <t>TC-017</t>
  </si>
  <si>
    <t>Option 2 prints updated org after adding</t>
  </si>
  <si>
    <t>Choose 1, then 2, add person, check second printout</t>
  </si>
  <si>
    <t>Organization printed again with new worker included</t>
  </si>
  <si>
    <t>Updated org prints after adding</t>
  </si>
  <si>
    <t>TC-018</t>
  </si>
  <si>
    <t>Add worker to Software Development</t>
  </si>
  <si>
    <t>Choose 1, then 2, enter 'Software Development' and 'Pekka Virtanen'</t>
  </si>
  <si>
    <t>Pekka Virtanen appears under SW Dev after Louie Duck</t>
  </si>
  <si>
    <t>Worker added to SW Dev correctly</t>
  </si>
  <si>
    <t>TC-019</t>
  </si>
  <si>
    <t>Add worker to Customer Support</t>
  </si>
  <si>
    <t>Choose 1, then 2, enter 'Customer Support' and 'Matti Meikalainen'</t>
  </si>
  <si>
    <t>Matti Meikalainen appears under Customer Support</t>
  </si>
  <si>
    <t>Worker added to Customer Support correctly</t>
  </si>
  <si>
    <t>TC-020</t>
  </si>
  <si>
    <t>Add worker to Top management</t>
  </si>
  <si>
    <t>Choose 1, then 2, enter 'Top management' and 'Teppo Testi'</t>
  </si>
  <si>
    <t>Teppo Testi appears under Top management</t>
  </si>
  <si>
    <t>Worker added to Top management correctly</t>
  </si>
  <si>
    <t>TC-021</t>
  </si>
  <si>
    <t>Add multiple workers sequentially</t>
  </si>
  <si>
    <t>Add 2 workers to Marketing one after another</t>
  </si>
  <si>
    <t>Both workers appear under Marketing in order added</t>
  </si>
  <si>
    <t>Multiple additions work correctly</t>
  </si>
  <si>
    <t>TC-022</t>
  </si>
  <si>
    <t>REQ-4P</t>
  </si>
  <si>
    <t>Remove existing worker from organization</t>
  </si>
  <si>
    <t>Create org, add Erkki to Marketing, then remove Erkki</t>
  </si>
  <si>
    <t>Erkki Hietalahti no longer appears in the organization</t>
  </si>
  <si>
    <t>Worker removed successfully</t>
  </si>
  <si>
    <t>TC-023</t>
  </si>
  <si>
    <t>Option 3 prints org before asking input</t>
  </si>
  <si>
    <t>Choose 1, then 3, check output order</t>
  </si>
  <si>
    <t>Organization printed first, then 'Give person name:' prompt</t>
  </si>
  <si>
    <t>Org prints before prompt</t>
  </si>
  <si>
    <t>TC-024</t>
  </si>
  <si>
    <t>Option 3 prints updated org after removing</t>
  </si>
  <si>
    <t>Choose 1, then 3, remove person, check second printout</t>
  </si>
  <si>
    <t>Organization printed again without removed worker</t>
  </si>
  <si>
    <t>Updated org prints after removal</t>
  </si>
  <si>
    <t>TC-025</t>
  </si>
  <si>
    <t>Remove worker leaving group empty (boss only)</t>
  </si>
  <si>
    <t>Create org, remove Gus Goose from Marketing</t>
  </si>
  <si>
    <t>Marketing group shows only boss Donald Duck, no workers</t>
  </si>
  <si>
    <t>Empty group displays correctly with boss only</t>
  </si>
  <si>
    <t>TC-026</t>
  </si>
  <si>
    <t>Remove worker from deeply nested position</t>
  </si>
  <si>
    <t>Create org, remove Huey Duck from SW Dev</t>
  </si>
  <si>
    <t>Only Dewey and Louie remain under SW Dev</t>
  </si>
  <si>
    <t>Correct worker removed from correct group</t>
  </si>
  <si>
    <t>TC-027</t>
  </si>
  <si>
    <t>Remove worker from Customer Support</t>
  </si>
  <si>
    <t>Create org, remove Launchpad McQuack</t>
  </si>
  <si>
    <t>Only Gyro and Magica remain under Customer Support</t>
  </si>
  <si>
    <t>Worker removed from Customer Support correctly</t>
  </si>
  <si>
    <t>TC-028</t>
  </si>
  <si>
    <t>REQ-5P</t>
  </si>
  <si>
    <t>Invalid menu choice shows error</t>
  </si>
  <si>
    <t>Type '5' at menu prompt</t>
  </si>
  <si>
    <t>Error: Invalid menu choice.</t>
  </si>
  <si>
    <t>TC-029</t>
  </si>
  <si>
    <t>Invalid menu choice with text input</t>
  </si>
  <si>
    <t>Type 'abc' at menu prompt</t>
  </si>
  <si>
    <t>TC-030</t>
  </si>
  <si>
    <t>Option 2 before creating org</t>
  </si>
  <si>
    <t>Start fresh, choose 2 immediately</t>
  </si>
  <si>
    <t>Error: Create the organization first.</t>
  </si>
  <si>
    <t>TC-031</t>
  </si>
  <si>
    <t>Option 3 before creating org</t>
  </si>
  <si>
    <t>Start fresh, choose 3 immediately</t>
  </si>
  <si>
    <t>TC-032</t>
  </si>
  <si>
    <t>Add person to non-existing unit</t>
  </si>
  <si>
    <t>Choose 1, then 2, enter 'Sales' and 'Valid Name'</t>
  </si>
  <si>
    <t>Error: Organization unit not found.</t>
  </si>
  <si>
    <t>TC-033</t>
  </si>
  <si>
    <t>Invalid name format - single word</t>
  </si>
  <si>
    <t>Choose 1, then 2, enter 'Marketing' and 'erkki'</t>
  </si>
  <si>
    <t>Error: Invalid name format.</t>
  </si>
  <si>
    <t>TC-034</t>
  </si>
  <si>
    <t>Invalid name format - all lowercase</t>
  </si>
  <si>
    <t>Choose 1, then 2, enter 'Marketing' and 'erkki hietalahti'</t>
  </si>
  <si>
    <t>TC-035</t>
  </si>
  <si>
    <t>Invalid name format - all uppercase</t>
  </si>
  <si>
    <t>Choose 1, then 2, enter 'Marketing' and 'ERKKI HIETALAHTI'</t>
  </si>
  <si>
    <t>TC-036</t>
  </si>
  <si>
    <t>Invalid name format - three words</t>
  </si>
  <si>
    <t>Choose 1, then 2, enter 'Marketing' and 'Erkki Von Hietalahti'</t>
  </si>
  <si>
    <t>TC-037</t>
  </si>
  <si>
    <t>Remove non-existing person</t>
  </si>
  <si>
    <t>Choose 1, then 3, enter 'Nobody Here'</t>
  </si>
  <si>
    <t>Error: Person not found.</t>
  </si>
  <si>
    <t>TC-038</t>
  </si>
  <si>
    <t>Invalid name format when removing</t>
  </si>
  <si>
    <t>Choose 1, then 3, enter 'bad'</t>
  </si>
  <si>
    <t>TC-039</t>
  </si>
  <si>
    <t>Invalid name format when removing - lowercase</t>
  </si>
  <si>
    <t>Choose 1, then 3, enter 'gus goose'</t>
  </si>
  <si>
    <t>TC-040</t>
  </si>
  <si>
    <t>Menu returns after every error</t>
  </si>
  <si>
    <t>Trigger 3 different errors in a row</t>
  </si>
  <si>
    <t>Menu reappears after each error message</t>
  </si>
  <si>
    <t>Menu loops back after every error</t>
  </si>
  <si>
    <t>TC-041</t>
  </si>
  <si>
    <t>Valid name after invalid attempt still works</t>
  </si>
  <si>
    <t>Enter invalid name, then retry with valid name</t>
  </si>
  <si>
    <t>Error shown for invalid, then person added successfully for valid</t>
  </si>
  <si>
    <t>Recovery after error works correctly</t>
  </si>
  <si>
    <t>TC-042</t>
  </si>
  <si>
    <t>Error handling uses Java exceptions</t>
  </si>
  <si>
    <t>Review source code for try-catch blocks</t>
  </si>
  <si>
    <t>All errors handled via try-catch with custom exception classes</t>
  </si>
  <si>
    <t>5 custom exception classes used with try-catch in Main</t>
  </si>
  <si>
    <t>Code review</t>
  </si>
  <si>
    <t>Test Summary</t>
  </si>
  <si>
    <t>Metric</t>
  </si>
  <si>
    <t>Count</t>
  </si>
  <si>
    <t>Percentage</t>
  </si>
  <si>
    <t>Total Test Cases</t>
  </si>
  <si>
    <t>Failed</t>
  </si>
  <si>
    <t>On Hold</t>
  </si>
  <si>
    <t>Blocker</t>
  </si>
  <si>
    <t>Project: Organization Management System  |  Tester:Sachini Alwis |  Date:05/05/2026 |  Version: 1.0</t>
  </si>
  <si>
    <t>Sachini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</si>
</sst>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2F5496"/>
      <name val="Arial"/>
      <charset val="1"/>
    </font>
    <font>
      <sz val="10"/>
      <name val="Arial"/>
      <charset val="1"/>
    </font>
    <font>
      <b/>
      <sz val="13"/>
      <color rgb="FF2F549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5">
    <dxf>
      <font>
        <b/>
        <sz val="10"/>
        <color rgb="FFFFFFFF"/>
        <name val="Arial"/>
        <charset val="1"/>
      </font>
      <fill>
        <patternFill>
          <bgColor rgb="FFFF6D6D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2F5496"/>
        <name val="Arial"/>
        <charset val="1"/>
      </font>
      <fill>
        <patternFill>
          <bgColor rgb="FFD6E4F0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FFFFFF"/>
        <name val="Arial"/>
        <charset val="1"/>
      </font>
      <fill>
        <patternFill>
          <bgColor rgb="FFFF6D6D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FFFFFF"/>
        <name val="Arial"/>
        <charset val="1"/>
      </font>
      <fill>
        <patternFill>
          <bgColor rgb="FFFF6D6D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Normal="100" workbookViewId="0">
      <pane ySplit="4" topLeftCell="A5" activePane="bottomLeft" state="frozen"/>
      <selection pane="bottomLeft" activeCell="K47" sqref="K47"/>
    </sheetView>
  </sheetViews>
  <sheetFormatPr defaultColWidth="8.6640625" defaultRowHeight="14.4" x14ac:dyDescent="0.3"/>
  <cols>
    <col min="1" max="4" width="12" customWidth="1"/>
    <col min="5" max="5" width="38" customWidth="1"/>
    <col min="6" max="8" width="30" customWidth="1"/>
    <col min="9" max="10" width="14" customWidth="1"/>
    <col min="11" max="11" width="16" customWidth="1"/>
  </cols>
  <sheetData>
    <row r="1" spans="1:11" ht="34.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1.75" customHeight="1" x14ac:dyDescent="0.3">
      <c r="A2" s="10" t="s">
        <v>221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9.75" customHeight="1" x14ac:dyDescent="0.3">
      <c r="A5" s="2" t="s">
        <v>12</v>
      </c>
      <c r="B5" s="3" t="s">
        <v>13</v>
      </c>
      <c r="C5" s="4" t="s">
        <v>14</v>
      </c>
      <c r="D5" s="4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4" t="s">
        <v>20</v>
      </c>
      <c r="J5" s="4" t="s">
        <v>222</v>
      </c>
      <c r="K5" s="5"/>
    </row>
    <row r="6" spans="1:11" ht="39.75" customHeight="1" x14ac:dyDescent="0.3">
      <c r="A6" s="2" t="s">
        <v>21</v>
      </c>
      <c r="B6" s="3" t="s">
        <v>13</v>
      </c>
      <c r="C6" s="4" t="s">
        <v>14</v>
      </c>
      <c r="D6" s="4" t="s">
        <v>15</v>
      </c>
      <c r="E6" s="5" t="s">
        <v>22</v>
      </c>
      <c r="F6" s="5" t="s">
        <v>23</v>
      </c>
      <c r="G6" s="5" t="s">
        <v>24</v>
      </c>
      <c r="H6" s="5" t="s">
        <v>25</v>
      </c>
      <c r="I6" s="4" t="s">
        <v>20</v>
      </c>
      <c r="J6" s="4" t="s">
        <v>222</v>
      </c>
      <c r="K6" s="5"/>
    </row>
    <row r="7" spans="1:11" ht="39.75" customHeight="1" x14ac:dyDescent="0.3">
      <c r="A7" s="2" t="s">
        <v>26</v>
      </c>
      <c r="B7" s="3" t="s">
        <v>13</v>
      </c>
      <c r="C7" s="4" t="s">
        <v>14</v>
      </c>
      <c r="D7" s="4" t="s">
        <v>15</v>
      </c>
      <c r="E7" s="5" t="s">
        <v>27</v>
      </c>
      <c r="F7" s="5" t="s">
        <v>28</v>
      </c>
      <c r="G7" s="5" t="s">
        <v>24</v>
      </c>
      <c r="H7" s="5" t="s">
        <v>25</v>
      </c>
      <c r="I7" s="4" t="s">
        <v>20</v>
      </c>
      <c r="J7" s="4" t="s">
        <v>222</v>
      </c>
      <c r="K7" s="5"/>
    </row>
    <row r="8" spans="1:11" ht="39.75" customHeight="1" x14ac:dyDescent="0.3">
      <c r="A8" s="2" t="s">
        <v>29</v>
      </c>
      <c r="B8" s="3" t="s">
        <v>13</v>
      </c>
      <c r="C8" s="4" t="s">
        <v>14</v>
      </c>
      <c r="D8" s="4" t="s">
        <v>30</v>
      </c>
      <c r="E8" s="5" t="s">
        <v>31</v>
      </c>
      <c r="F8" s="5" t="s">
        <v>32</v>
      </c>
      <c r="G8" s="5" t="s">
        <v>33</v>
      </c>
      <c r="H8" s="5" t="s">
        <v>34</v>
      </c>
      <c r="I8" s="4" t="s">
        <v>20</v>
      </c>
      <c r="J8" s="4" t="s">
        <v>222</v>
      </c>
      <c r="K8" s="5"/>
    </row>
    <row r="9" spans="1:11" ht="39.75" customHeight="1" x14ac:dyDescent="0.3">
      <c r="A9" s="2" t="s">
        <v>35</v>
      </c>
      <c r="B9" s="3" t="s">
        <v>13</v>
      </c>
      <c r="C9" s="4" t="s">
        <v>36</v>
      </c>
      <c r="D9" s="4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4" t="s">
        <v>20</v>
      </c>
      <c r="J9" s="4" t="s">
        <v>222</v>
      </c>
      <c r="K9" s="5"/>
    </row>
    <row r="10" spans="1:11" ht="39.75" customHeight="1" x14ac:dyDescent="0.3">
      <c r="A10" s="2" t="s">
        <v>42</v>
      </c>
      <c r="B10" s="3" t="s">
        <v>43</v>
      </c>
      <c r="C10" s="4" t="s">
        <v>14</v>
      </c>
      <c r="D10" s="4" t="s">
        <v>15</v>
      </c>
      <c r="E10" s="5" t="s">
        <v>44</v>
      </c>
      <c r="F10" s="5" t="s">
        <v>45</v>
      </c>
      <c r="G10" s="5" t="s">
        <v>46</v>
      </c>
      <c r="H10" s="5" t="s">
        <v>47</v>
      </c>
      <c r="I10" s="4" t="s">
        <v>20</v>
      </c>
      <c r="J10" s="4" t="s">
        <v>222</v>
      </c>
      <c r="K10" s="5"/>
    </row>
    <row r="11" spans="1:11" ht="39.75" customHeight="1" x14ac:dyDescent="0.3">
      <c r="A11" s="2" t="s">
        <v>48</v>
      </c>
      <c r="B11" s="3" t="s">
        <v>43</v>
      </c>
      <c r="C11" s="4" t="s">
        <v>14</v>
      </c>
      <c r="D11" s="4" t="s">
        <v>15</v>
      </c>
      <c r="E11" s="5" t="s">
        <v>49</v>
      </c>
      <c r="F11" s="5" t="s">
        <v>50</v>
      </c>
      <c r="G11" s="5" t="s">
        <v>51</v>
      </c>
      <c r="H11" s="5" t="s">
        <v>52</v>
      </c>
      <c r="I11" s="4" t="s">
        <v>20</v>
      </c>
      <c r="J11" s="4" t="s">
        <v>222</v>
      </c>
      <c r="K11" s="5"/>
    </row>
    <row r="12" spans="1:11" ht="39.75" customHeight="1" x14ac:dyDescent="0.3">
      <c r="A12" s="2" t="s">
        <v>53</v>
      </c>
      <c r="B12" s="3" t="s">
        <v>43</v>
      </c>
      <c r="C12" s="4" t="s">
        <v>14</v>
      </c>
      <c r="D12" s="4" t="s">
        <v>15</v>
      </c>
      <c r="E12" s="5" t="s">
        <v>54</v>
      </c>
      <c r="F12" s="5" t="s">
        <v>55</v>
      </c>
      <c r="G12" s="5" t="s">
        <v>56</v>
      </c>
      <c r="H12" s="5" t="s">
        <v>57</v>
      </c>
      <c r="I12" s="4" t="s">
        <v>20</v>
      </c>
      <c r="J12" s="4" t="s">
        <v>222</v>
      </c>
      <c r="K12" s="5"/>
    </row>
    <row r="13" spans="1:11" ht="39.75" customHeight="1" x14ac:dyDescent="0.3">
      <c r="A13" s="2" t="s">
        <v>58</v>
      </c>
      <c r="B13" s="3" t="s">
        <v>43</v>
      </c>
      <c r="C13" s="4" t="s">
        <v>14</v>
      </c>
      <c r="D13" s="4" t="s">
        <v>30</v>
      </c>
      <c r="E13" s="5" t="s">
        <v>59</v>
      </c>
      <c r="F13" s="5" t="s">
        <v>60</v>
      </c>
      <c r="G13" s="5" t="s">
        <v>61</v>
      </c>
      <c r="H13" s="5" t="s">
        <v>62</v>
      </c>
      <c r="I13" s="4" t="s">
        <v>20</v>
      </c>
      <c r="J13" s="4" t="s">
        <v>222</v>
      </c>
      <c r="K13" s="5"/>
    </row>
    <row r="14" spans="1:11" ht="39.75" customHeight="1" x14ac:dyDescent="0.3">
      <c r="A14" s="2" t="s">
        <v>63</v>
      </c>
      <c r="B14" s="3" t="s">
        <v>43</v>
      </c>
      <c r="C14" s="4" t="s">
        <v>14</v>
      </c>
      <c r="D14" s="4" t="s">
        <v>30</v>
      </c>
      <c r="E14" s="5" t="s">
        <v>64</v>
      </c>
      <c r="F14" s="5" t="s">
        <v>65</v>
      </c>
      <c r="G14" s="5" t="s">
        <v>66</v>
      </c>
      <c r="H14" s="5" t="s">
        <v>67</v>
      </c>
      <c r="I14" s="4" t="s">
        <v>20</v>
      </c>
      <c r="J14" s="4" t="s">
        <v>222</v>
      </c>
      <c r="K14" s="5"/>
    </row>
    <row r="15" spans="1:11" ht="39.75" customHeight="1" x14ac:dyDescent="0.3">
      <c r="A15" s="2" t="s">
        <v>68</v>
      </c>
      <c r="B15" s="3" t="s">
        <v>43</v>
      </c>
      <c r="C15" s="4" t="s">
        <v>14</v>
      </c>
      <c r="D15" s="4" t="s">
        <v>30</v>
      </c>
      <c r="E15" s="5" t="s">
        <v>69</v>
      </c>
      <c r="F15" s="5" t="s">
        <v>70</v>
      </c>
      <c r="G15" s="5" t="s">
        <v>71</v>
      </c>
      <c r="H15" s="5" t="s">
        <v>72</v>
      </c>
      <c r="I15" s="4" t="s">
        <v>20</v>
      </c>
      <c r="J15" s="4" t="s">
        <v>222</v>
      </c>
      <c r="K15" s="5"/>
    </row>
    <row r="16" spans="1:11" ht="39.75" customHeight="1" x14ac:dyDescent="0.3">
      <c r="A16" s="2" t="s">
        <v>73</v>
      </c>
      <c r="B16" s="3" t="s">
        <v>43</v>
      </c>
      <c r="C16" s="4" t="s">
        <v>14</v>
      </c>
      <c r="D16" s="4" t="s">
        <v>15</v>
      </c>
      <c r="E16" s="5" t="s">
        <v>74</v>
      </c>
      <c r="F16" s="5" t="s">
        <v>75</v>
      </c>
      <c r="G16" s="5" t="s">
        <v>76</v>
      </c>
      <c r="H16" s="5" t="s">
        <v>77</v>
      </c>
      <c r="I16" s="4" t="s">
        <v>20</v>
      </c>
      <c r="J16" s="4" t="s">
        <v>222</v>
      </c>
      <c r="K16" s="5"/>
    </row>
    <row r="17" spans="1:11" ht="39.75" customHeight="1" x14ac:dyDescent="0.3">
      <c r="A17" s="2" t="s">
        <v>78</v>
      </c>
      <c r="B17" s="3" t="s">
        <v>43</v>
      </c>
      <c r="C17" s="4" t="s">
        <v>36</v>
      </c>
      <c r="D17" s="4" t="s">
        <v>37</v>
      </c>
      <c r="E17" s="5" t="s">
        <v>79</v>
      </c>
      <c r="F17" s="5" t="s">
        <v>80</v>
      </c>
      <c r="G17" s="5" t="s">
        <v>81</v>
      </c>
      <c r="H17" s="5" t="s">
        <v>82</v>
      </c>
      <c r="I17" s="4" t="s">
        <v>20</v>
      </c>
      <c r="J17" s="4" t="s">
        <v>222</v>
      </c>
      <c r="K17" s="5"/>
    </row>
    <row r="18" spans="1:11" ht="39.75" customHeight="1" x14ac:dyDescent="0.3">
      <c r="A18" s="2" t="s">
        <v>83</v>
      </c>
      <c r="B18" s="3" t="s">
        <v>43</v>
      </c>
      <c r="C18" s="4" t="s">
        <v>36</v>
      </c>
      <c r="D18" s="4" t="s">
        <v>37</v>
      </c>
      <c r="E18" s="5" t="s">
        <v>84</v>
      </c>
      <c r="F18" s="5" t="s">
        <v>85</v>
      </c>
      <c r="G18" s="5" t="s">
        <v>86</v>
      </c>
      <c r="H18" s="5" t="s">
        <v>87</v>
      </c>
      <c r="I18" s="4" t="s">
        <v>20</v>
      </c>
      <c r="J18" s="4" t="s">
        <v>222</v>
      </c>
      <c r="K18" s="5"/>
    </row>
    <row r="19" spans="1:11" ht="39.75" customHeight="1" x14ac:dyDescent="0.3">
      <c r="A19" s="2" t="s">
        <v>88</v>
      </c>
      <c r="B19" s="3" t="s">
        <v>89</v>
      </c>
      <c r="C19" s="4" t="s">
        <v>14</v>
      </c>
      <c r="D19" s="4" t="s">
        <v>15</v>
      </c>
      <c r="E19" s="5" t="s">
        <v>90</v>
      </c>
      <c r="F19" s="5" t="s">
        <v>91</v>
      </c>
      <c r="G19" s="5" t="s">
        <v>92</v>
      </c>
      <c r="H19" s="5" t="s">
        <v>93</v>
      </c>
      <c r="I19" s="4" t="s">
        <v>20</v>
      </c>
      <c r="J19" s="4" t="s">
        <v>222</v>
      </c>
      <c r="K19" s="5"/>
    </row>
    <row r="20" spans="1:11" ht="39.75" customHeight="1" x14ac:dyDescent="0.3">
      <c r="A20" s="2" t="s">
        <v>94</v>
      </c>
      <c r="B20" s="3" t="s">
        <v>89</v>
      </c>
      <c r="C20" s="4" t="s">
        <v>14</v>
      </c>
      <c r="D20" s="4" t="s">
        <v>30</v>
      </c>
      <c r="E20" s="5" t="s">
        <v>95</v>
      </c>
      <c r="F20" s="5" t="s">
        <v>96</v>
      </c>
      <c r="G20" s="5" t="s">
        <v>97</v>
      </c>
      <c r="H20" s="5" t="s">
        <v>98</v>
      </c>
      <c r="I20" s="4" t="s">
        <v>20</v>
      </c>
      <c r="J20" s="4" t="s">
        <v>222</v>
      </c>
      <c r="K20" s="5"/>
    </row>
    <row r="21" spans="1:11" ht="39.75" customHeight="1" x14ac:dyDescent="0.3">
      <c r="A21" s="2" t="s">
        <v>99</v>
      </c>
      <c r="B21" s="3" t="s">
        <v>89</v>
      </c>
      <c r="C21" s="4" t="s">
        <v>14</v>
      </c>
      <c r="D21" s="4" t="s">
        <v>30</v>
      </c>
      <c r="E21" s="5" t="s">
        <v>100</v>
      </c>
      <c r="F21" s="5" t="s">
        <v>101</v>
      </c>
      <c r="G21" s="5" t="s">
        <v>102</v>
      </c>
      <c r="H21" s="5" t="s">
        <v>103</v>
      </c>
      <c r="I21" s="4" t="s">
        <v>20</v>
      </c>
      <c r="J21" s="4" t="s">
        <v>222</v>
      </c>
      <c r="K21" s="5"/>
    </row>
    <row r="22" spans="1:11" ht="39.75" customHeight="1" x14ac:dyDescent="0.3">
      <c r="A22" s="2" t="s">
        <v>104</v>
      </c>
      <c r="B22" s="3" t="s">
        <v>89</v>
      </c>
      <c r="C22" s="4" t="s">
        <v>14</v>
      </c>
      <c r="D22" s="4" t="s">
        <v>30</v>
      </c>
      <c r="E22" s="5" t="s">
        <v>105</v>
      </c>
      <c r="F22" s="5" t="s">
        <v>106</v>
      </c>
      <c r="G22" s="5" t="s">
        <v>107</v>
      </c>
      <c r="H22" s="5" t="s">
        <v>108</v>
      </c>
      <c r="I22" s="4" t="s">
        <v>20</v>
      </c>
      <c r="J22" s="4" t="s">
        <v>222</v>
      </c>
      <c r="K22" s="5"/>
    </row>
    <row r="23" spans="1:11" ht="39.75" customHeight="1" x14ac:dyDescent="0.3">
      <c r="A23" s="2" t="s">
        <v>109</v>
      </c>
      <c r="B23" s="3" t="s">
        <v>89</v>
      </c>
      <c r="C23" s="4" t="s">
        <v>14</v>
      </c>
      <c r="D23" s="4" t="s">
        <v>30</v>
      </c>
      <c r="E23" s="5" t="s">
        <v>110</v>
      </c>
      <c r="F23" s="5" t="s">
        <v>111</v>
      </c>
      <c r="G23" s="5" t="s">
        <v>112</v>
      </c>
      <c r="H23" s="5" t="s">
        <v>113</v>
      </c>
      <c r="I23" s="4" t="s">
        <v>20</v>
      </c>
      <c r="J23" s="4" t="s">
        <v>222</v>
      </c>
      <c r="K23" s="5"/>
    </row>
    <row r="24" spans="1:11" ht="39.75" customHeight="1" x14ac:dyDescent="0.3">
      <c r="A24" s="2" t="s">
        <v>114</v>
      </c>
      <c r="B24" s="3" t="s">
        <v>89</v>
      </c>
      <c r="C24" s="4" t="s">
        <v>36</v>
      </c>
      <c r="D24" s="4" t="s">
        <v>37</v>
      </c>
      <c r="E24" s="5" t="s">
        <v>115</v>
      </c>
      <c r="F24" s="5" t="s">
        <v>116</v>
      </c>
      <c r="G24" s="5" t="s">
        <v>117</v>
      </c>
      <c r="H24" s="5" t="s">
        <v>118</v>
      </c>
      <c r="I24" s="4" t="s">
        <v>20</v>
      </c>
      <c r="J24" s="4" t="s">
        <v>222</v>
      </c>
      <c r="K24" s="5"/>
    </row>
    <row r="25" spans="1:11" ht="39.75" customHeight="1" x14ac:dyDescent="0.3">
      <c r="A25" s="2" t="s">
        <v>119</v>
      </c>
      <c r="B25" s="3" t="s">
        <v>89</v>
      </c>
      <c r="C25" s="4" t="s">
        <v>36</v>
      </c>
      <c r="D25" s="4" t="s">
        <v>37</v>
      </c>
      <c r="E25" s="5" t="s">
        <v>120</v>
      </c>
      <c r="F25" s="5" t="s">
        <v>121</v>
      </c>
      <c r="G25" s="5" t="s">
        <v>122</v>
      </c>
      <c r="H25" s="5" t="s">
        <v>123</v>
      </c>
      <c r="I25" s="4" t="s">
        <v>20</v>
      </c>
      <c r="J25" s="4" t="s">
        <v>222</v>
      </c>
      <c r="K25" s="5"/>
    </row>
    <row r="26" spans="1:11" ht="39.75" customHeight="1" x14ac:dyDescent="0.3">
      <c r="A26" s="2" t="s">
        <v>124</v>
      </c>
      <c r="B26" s="3" t="s">
        <v>125</v>
      </c>
      <c r="C26" s="4" t="s">
        <v>14</v>
      </c>
      <c r="D26" s="4" t="s">
        <v>15</v>
      </c>
      <c r="E26" s="5" t="s">
        <v>126</v>
      </c>
      <c r="F26" s="5" t="s">
        <v>127</v>
      </c>
      <c r="G26" s="5" t="s">
        <v>128</v>
      </c>
      <c r="H26" s="5" t="s">
        <v>129</v>
      </c>
      <c r="I26" s="4" t="s">
        <v>20</v>
      </c>
      <c r="J26" s="4" t="s">
        <v>222</v>
      </c>
      <c r="K26" s="5"/>
    </row>
    <row r="27" spans="1:11" ht="39.75" customHeight="1" x14ac:dyDescent="0.3">
      <c r="A27" s="2" t="s">
        <v>130</v>
      </c>
      <c r="B27" s="3" t="s">
        <v>125</v>
      </c>
      <c r="C27" s="4" t="s">
        <v>14</v>
      </c>
      <c r="D27" s="4" t="s">
        <v>30</v>
      </c>
      <c r="E27" s="5" t="s">
        <v>131</v>
      </c>
      <c r="F27" s="5" t="s">
        <v>132</v>
      </c>
      <c r="G27" s="5" t="s">
        <v>133</v>
      </c>
      <c r="H27" s="5" t="s">
        <v>134</v>
      </c>
      <c r="I27" s="4" t="s">
        <v>20</v>
      </c>
      <c r="J27" s="4" t="s">
        <v>222</v>
      </c>
      <c r="K27" s="5"/>
    </row>
    <row r="28" spans="1:11" ht="39.75" customHeight="1" x14ac:dyDescent="0.3">
      <c r="A28" s="2" t="s">
        <v>135</v>
      </c>
      <c r="B28" s="3" t="s">
        <v>125</v>
      </c>
      <c r="C28" s="4" t="s">
        <v>14</v>
      </c>
      <c r="D28" s="4" t="s">
        <v>30</v>
      </c>
      <c r="E28" s="5" t="s">
        <v>136</v>
      </c>
      <c r="F28" s="5" t="s">
        <v>137</v>
      </c>
      <c r="G28" s="5" t="s">
        <v>138</v>
      </c>
      <c r="H28" s="5" t="s">
        <v>139</v>
      </c>
      <c r="I28" s="4" t="s">
        <v>20</v>
      </c>
      <c r="J28" s="4" t="s">
        <v>222</v>
      </c>
      <c r="K28" s="5"/>
    </row>
    <row r="29" spans="1:11" ht="39.75" customHeight="1" x14ac:dyDescent="0.3">
      <c r="A29" s="2" t="s">
        <v>140</v>
      </c>
      <c r="B29" s="3" t="s">
        <v>125</v>
      </c>
      <c r="C29" s="4" t="s">
        <v>14</v>
      </c>
      <c r="D29" s="4" t="s">
        <v>30</v>
      </c>
      <c r="E29" s="5" t="s">
        <v>141</v>
      </c>
      <c r="F29" s="5" t="s">
        <v>142</v>
      </c>
      <c r="G29" s="5" t="s">
        <v>143</v>
      </c>
      <c r="H29" s="5" t="s">
        <v>144</v>
      </c>
      <c r="I29" s="4" t="s">
        <v>20</v>
      </c>
      <c r="J29" s="4" t="s">
        <v>222</v>
      </c>
      <c r="K29" s="5"/>
    </row>
    <row r="30" spans="1:11" ht="39.75" customHeight="1" x14ac:dyDescent="0.3">
      <c r="A30" s="2" t="s">
        <v>145</v>
      </c>
      <c r="B30" s="3" t="s">
        <v>125</v>
      </c>
      <c r="C30" s="4" t="s">
        <v>36</v>
      </c>
      <c r="D30" s="4" t="s">
        <v>30</v>
      </c>
      <c r="E30" s="5" t="s">
        <v>146</v>
      </c>
      <c r="F30" s="5" t="s">
        <v>147</v>
      </c>
      <c r="G30" s="5" t="s">
        <v>148</v>
      </c>
      <c r="H30" s="5" t="s">
        <v>149</v>
      </c>
      <c r="I30" s="4" t="s">
        <v>20</v>
      </c>
      <c r="J30" s="4" t="s">
        <v>222</v>
      </c>
      <c r="K30" s="5"/>
    </row>
    <row r="31" spans="1:11" ht="39.75" customHeight="1" x14ac:dyDescent="0.3">
      <c r="A31" s="2" t="s">
        <v>150</v>
      </c>
      <c r="B31" s="3" t="s">
        <v>125</v>
      </c>
      <c r="C31" s="4" t="s">
        <v>36</v>
      </c>
      <c r="D31" s="4" t="s">
        <v>37</v>
      </c>
      <c r="E31" s="5" t="s">
        <v>151</v>
      </c>
      <c r="F31" s="5" t="s">
        <v>152</v>
      </c>
      <c r="G31" s="5" t="s">
        <v>153</v>
      </c>
      <c r="H31" s="5" t="s">
        <v>154</v>
      </c>
      <c r="I31" s="4" t="s">
        <v>20</v>
      </c>
      <c r="J31" s="4" t="s">
        <v>222</v>
      </c>
      <c r="K31" s="5"/>
    </row>
    <row r="32" spans="1:11" ht="39.75" customHeight="1" x14ac:dyDescent="0.3">
      <c r="A32" s="2" t="s">
        <v>155</v>
      </c>
      <c r="B32" s="3" t="s">
        <v>156</v>
      </c>
      <c r="C32" s="4" t="s">
        <v>14</v>
      </c>
      <c r="D32" s="4" t="s">
        <v>15</v>
      </c>
      <c r="E32" s="5" t="s">
        <v>157</v>
      </c>
      <c r="F32" s="5" t="s">
        <v>158</v>
      </c>
      <c r="G32" s="5" t="s">
        <v>159</v>
      </c>
      <c r="H32" s="5" t="s">
        <v>159</v>
      </c>
      <c r="I32" s="4" t="s">
        <v>20</v>
      </c>
      <c r="J32" s="4" t="s">
        <v>222</v>
      </c>
      <c r="K32" s="5"/>
    </row>
    <row r="33" spans="1:11" ht="39.75" customHeight="1" x14ac:dyDescent="0.3">
      <c r="A33" s="2" t="s">
        <v>160</v>
      </c>
      <c r="B33" s="3" t="s">
        <v>156</v>
      </c>
      <c r="C33" s="4" t="s">
        <v>14</v>
      </c>
      <c r="D33" s="4" t="s">
        <v>15</v>
      </c>
      <c r="E33" s="5" t="s">
        <v>161</v>
      </c>
      <c r="F33" s="5" t="s">
        <v>162</v>
      </c>
      <c r="G33" s="5" t="s">
        <v>159</v>
      </c>
      <c r="H33" s="5" t="s">
        <v>159</v>
      </c>
      <c r="I33" s="4" t="s">
        <v>20</v>
      </c>
      <c r="J33" s="4" t="s">
        <v>222</v>
      </c>
      <c r="K33" s="5"/>
    </row>
    <row r="34" spans="1:11" ht="39.75" customHeight="1" x14ac:dyDescent="0.3">
      <c r="A34" s="2" t="s">
        <v>163</v>
      </c>
      <c r="B34" s="3" t="s">
        <v>156</v>
      </c>
      <c r="C34" s="4" t="s">
        <v>14</v>
      </c>
      <c r="D34" s="4" t="s">
        <v>15</v>
      </c>
      <c r="E34" s="5" t="s">
        <v>164</v>
      </c>
      <c r="F34" s="5" t="s">
        <v>165</v>
      </c>
      <c r="G34" s="5" t="s">
        <v>166</v>
      </c>
      <c r="H34" s="5" t="s">
        <v>166</v>
      </c>
      <c r="I34" s="4" t="s">
        <v>20</v>
      </c>
      <c r="J34" s="4" t="s">
        <v>222</v>
      </c>
      <c r="K34" s="5"/>
    </row>
    <row r="35" spans="1:11" ht="39.75" customHeight="1" x14ac:dyDescent="0.3">
      <c r="A35" s="2" t="s">
        <v>167</v>
      </c>
      <c r="B35" s="3" t="s">
        <v>156</v>
      </c>
      <c r="C35" s="4" t="s">
        <v>14</v>
      </c>
      <c r="D35" s="4" t="s">
        <v>15</v>
      </c>
      <c r="E35" s="5" t="s">
        <v>168</v>
      </c>
      <c r="F35" s="5" t="s">
        <v>169</v>
      </c>
      <c r="G35" s="5" t="s">
        <v>166</v>
      </c>
      <c r="H35" s="5" t="s">
        <v>166</v>
      </c>
      <c r="I35" s="4" t="s">
        <v>20</v>
      </c>
      <c r="J35" s="4" t="s">
        <v>222</v>
      </c>
      <c r="K35" s="5"/>
    </row>
    <row r="36" spans="1:11" ht="39.75" customHeight="1" x14ac:dyDescent="0.3">
      <c r="A36" s="2" t="s">
        <v>170</v>
      </c>
      <c r="B36" s="3" t="s">
        <v>156</v>
      </c>
      <c r="C36" s="4" t="s">
        <v>14</v>
      </c>
      <c r="D36" s="4" t="s">
        <v>15</v>
      </c>
      <c r="E36" s="5" t="s">
        <v>171</v>
      </c>
      <c r="F36" s="5" t="s">
        <v>172</v>
      </c>
      <c r="G36" s="5" t="s">
        <v>173</v>
      </c>
      <c r="H36" s="5" t="s">
        <v>173</v>
      </c>
      <c r="I36" s="4" t="s">
        <v>20</v>
      </c>
      <c r="J36" s="4" t="s">
        <v>222</v>
      </c>
      <c r="K36" s="5"/>
    </row>
    <row r="37" spans="1:11" ht="39.75" customHeight="1" x14ac:dyDescent="0.3">
      <c r="A37" s="2" t="s">
        <v>174</v>
      </c>
      <c r="B37" s="3" t="s">
        <v>156</v>
      </c>
      <c r="C37" s="4" t="s">
        <v>14</v>
      </c>
      <c r="D37" s="4" t="s">
        <v>15</v>
      </c>
      <c r="E37" s="5" t="s">
        <v>175</v>
      </c>
      <c r="F37" s="5" t="s">
        <v>176</v>
      </c>
      <c r="G37" s="5" t="s">
        <v>177</v>
      </c>
      <c r="H37" s="5" t="s">
        <v>177</v>
      </c>
      <c r="I37" s="4" t="s">
        <v>20</v>
      </c>
      <c r="J37" s="4" t="s">
        <v>222</v>
      </c>
      <c r="K37" s="5"/>
    </row>
    <row r="38" spans="1:11" ht="39.75" customHeight="1" x14ac:dyDescent="0.3">
      <c r="A38" s="2" t="s">
        <v>178</v>
      </c>
      <c r="B38" s="3" t="s">
        <v>156</v>
      </c>
      <c r="C38" s="4" t="s">
        <v>14</v>
      </c>
      <c r="D38" s="4" t="s">
        <v>15</v>
      </c>
      <c r="E38" s="5" t="s">
        <v>179</v>
      </c>
      <c r="F38" s="5" t="s">
        <v>180</v>
      </c>
      <c r="G38" s="5" t="s">
        <v>177</v>
      </c>
      <c r="H38" s="5" t="s">
        <v>177</v>
      </c>
      <c r="I38" s="4" t="s">
        <v>20</v>
      </c>
      <c r="J38" s="4" t="s">
        <v>222</v>
      </c>
      <c r="K38" s="5"/>
    </row>
    <row r="39" spans="1:11" ht="39.75" customHeight="1" x14ac:dyDescent="0.3">
      <c r="A39" s="2" t="s">
        <v>181</v>
      </c>
      <c r="B39" s="3" t="s">
        <v>156</v>
      </c>
      <c r="C39" s="4" t="s">
        <v>14</v>
      </c>
      <c r="D39" s="4" t="s">
        <v>30</v>
      </c>
      <c r="E39" s="5" t="s">
        <v>182</v>
      </c>
      <c r="F39" s="5" t="s">
        <v>183</v>
      </c>
      <c r="G39" s="5" t="s">
        <v>177</v>
      </c>
      <c r="H39" s="5" t="s">
        <v>177</v>
      </c>
      <c r="I39" s="4" t="s">
        <v>20</v>
      </c>
      <c r="J39" s="4" t="s">
        <v>222</v>
      </c>
      <c r="K39" s="5"/>
    </row>
    <row r="40" spans="1:11" ht="39.75" customHeight="1" x14ac:dyDescent="0.3">
      <c r="A40" s="2" t="s">
        <v>184</v>
      </c>
      <c r="B40" s="3" t="s">
        <v>156</v>
      </c>
      <c r="C40" s="4" t="s">
        <v>14</v>
      </c>
      <c r="D40" s="4" t="s">
        <v>30</v>
      </c>
      <c r="E40" s="5" t="s">
        <v>185</v>
      </c>
      <c r="F40" s="5" t="s">
        <v>186</v>
      </c>
      <c r="G40" s="5" t="s">
        <v>177</v>
      </c>
      <c r="H40" s="5" t="s">
        <v>177</v>
      </c>
      <c r="I40" s="4" t="s">
        <v>20</v>
      </c>
      <c r="J40" s="4" t="s">
        <v>222</v>
      </c>
      <c r="K40" s="5"/>
    </row>
    <row r="41" spans="1:11" ht="39.75" customHeight="1" x14ac:dyDescent="0.3">
      <c r="A41" s="2" t="s">
        <v>187</v>
      </c>
      <c r="B41" s="3" t="s">
        <v>156</v>
      </c>
      <c r="C41" s="4" t="s">
        <v>14</v>
      </c>
      <c r="D41" s="4" t="s">
        <v>15</v>
      </c>
      <c r="E41" s="5" t="s">
        <v>188</v>
      </c>
      <c r="F41" s="5" t="s">
        <v>189</v>
      </c>
      <c r="G41" s="5" t="s">
        <v>190</v>
      </c>
      <c r="H41" s="5" t="s">
        <v>190</v>
      </c>
      <c r="I41" s="4" t="s">
        <v>20</v>
      </c>
      <c r="J41" s="4" t="s">
        <v>222</v>
      </c>
      <c r="K41" s="5"/>
    </row>
    <row r="42" spans="1:11" ht="39.75" customHeight="1" x14ac:dyDescent="0.3">
      <c r="A42" s="2" t="s">
        <v>191</v>
      </c>
      <c r="B42" s="3" t="s">
        <v>156</v>
      </c>
      <c r="C42" s="4" t="s">
        <v>14</v>
      </c>
      <c r="D42" s="4" t="s">
        <v>15</v>
      </c>
      <c r="E42" s="5" t="s">
        <v>192</v>
      </c>
      <c r="F42" s="5" t="s">
        <v>193</v>
      </c>
      <c r="G42" s="5" t="s">
        <v>177</v>
      </c>
      <c r="H42" s="5" t="s">
        <v>177</v>
      </c>
      <c r="I42" s="4" t="s">
        <v>20</v>
      </c>
      <c r="J42" s="4" t="s">
        <v>222</v>
      </c>
      <c r="K42" s="5"/>
    </row>
    <row r="43" spans="1:11" ht="39.75" customHeight="1" x14ac:dyDescent="0.3">
      <c r="A43" s="2" t="s">
        <v>194</v>
      </c>
      <c r="B43" s="3" t="s">
        <v>156</v>
      </c>
      <c r="C43" s="4" t="s">
        <v>14</v>
      </c>
      <c r="D43" s="4" t="s">
        <v>30</v>
      </c>
      <c r="E43" s="5" t="s">
        <v>195</v>
      </c>
      <c r="F43" s="5" t="s">
        <v>196</v>
      </c>
      <c r="G43" s="5" t="s">
        <v>177</v>
      </c>
      <c r="H43" s="5" t="s">
        <v>177</v>
      </c>
      <c r="I43" s="4" t="s">
        <v>20</v>
      </c>
      <c r="J43" s="4" t="s">
        <v>222</v>
      </c>
      <c r="K43" s="5"/>
    </row>
    <row r="44" spans="1:11" ht="39.75" customHeight="1" x14ac:dyDescent="0.3">
      <c r="A44" s="2" t="s">
        <v>197</v>
      </c>
      <c r="B44" s="3" t="s">
        <v>156</v>
      </c>
      <c r="C44" s="4" t="s">
        <v>36</v>
      </c>
      <c r="D44" s="4" t="s">
        <v>30</v>
      </c>
      <c r="E44" s="5" t="s">
        <v>198</v>
      </c>
      <c r="F44" s="5" t="s">
        <v>199</v>
      </c>
      <c r="G44" s="5" t="s">
        <v>200</v>
      </c>
      <c r="H44" s="5" t="s">
        <v>201</v>
      </c>
      <c r="I44" s="4" t="s">
        <v>20</v>
      </c>
      <c r="J44" s="4" t="s">
        <v>222</v>
      </c>
      <c r="K44" s="5"/>
    </row>
    <row r="45" spans="1:11" ht="39.75" customHeight="1" x14ac:dyDescent="0.3">
      <c r="A45" s="2" t="s">
        <v>202</v>
      </c>
      <c r="B45" s="3" t="s">
        <v>156</v>
      </c>
      <c r="C45" s="4" t="s">
        <v>36</v>
      </c>
      <c r="D45" s="4" t="s">
        <v>37</v>
      </c>
      <c r="E45" s="5" t="s">
        <v>203</v>
      </c>
      <c r="F45" s="5" t="s">
        <v>204</v>
      </c>
      <c r="G45" s="5" t="s">
        <v>205</v>
      </c>
      <c r="H45" s="5" t="s">
        <v>206</v>
      </c>
      <c r="I45" s="4" t="s">
        <v>20</v>
      </c>
      <c r="J45" s="4" t="s">
        <v>222</v>
      </c>
      <c r="K45" s="5"/>
    </row>
    <row r="46" spans="1:11" ht="39.75" customHeight="1" x14ac:dyDescent="0.3">
      <c r="A46" s="2" t="s">
        <v>207</v>
      </c>
      <c r="B46" s="3" t="s">
        <v>156</v>
      </c>
      <c r="C46" s="4" t="s">
        <v>36</v>
      </c>
      <c r="D46" s="4" t="s">
        <v>37</v>
      </c>
      <c r="E46" s="5" t="s">
        <v>208</v>
      </c>
      <c r="F46" s="5" t="s">
        <v>209</v>
      </c>
      <c r="G46" s="5" t="s">
        <v>210</v>
      </c>
      <c r="H46" s="5" t="s">
        <v>211</v>
      </c>
      <c r="I46" s="4" t="s">
        <v>20</v>
      </c>
      <c r="J46" s="4" t="s">
        <v>222</v>
      </c>
      <c r="K46" s="5" t="s">
        <v>212</v>
      </c>
    </row>
    <row r="47" spans="1:11" x14ac:dyDescent="0.3">
      <c r="J47" s="4"/>
    </row>
    <row r="49" spans="1:3" ht="27.75" customHeight="1" x14ac:dyDescent="0.3">
      <c r="A49" s="11" t="s">
        <v>213</v>
      </c>
      <c r="B49" s="11"/>
      <c r="C49" s="11"/>
    </row>
    <row r="50" spans="1:3" x14ac:dyDescent="0.3">
      <c r="A50" s="6" t="s">
        <v>214</v>
      </c>
      <c r="B50" s="6" t="s">
        <v>215</v>
      </c>
      <c r="C50" s="6" t="s">
        <v>216</v>
      </c>
    </row>
    <row r="51" spans="1:3" ht="24" customHeight="1" x14ac:dyDescent="0.3">
      <c r="A51" s="2" t="s">
        <v>217</v>
      </c>
      <c r="B51" s="2">
        <f>COUNTA(A5:A46)</f>
        <v>42</v>
      </c>
      <c r="C51" s="7"/>
    </row>
    <row r="52" spans="1:3" ht="24" customHeight="1" x14ac:dyDescent="0.3">
      <c r="A52" s="7" t="s">
        <v>20</v>
      </c>
      <c r="B52" s="7">
        <f>COUNTIF(I5:I46,"Passed")</f>
        <v>42</v>
      </c>
      <c r="C52" s="8">
        <f>IF(B51&gt;0,B52/B51*100,0)</f>
        <v>100</v>
      </c>
    </row>
    <row r="53" spans="1:3" ht="24" customHeight="1" x14ac:dyDescent="0.3">
      <c r="A53" s="7" t="s">
        <v>218</v>
      </c>
      <c r="B53" s="7">
        <f>COUNTIF(I5:I46,"Failed")</f>
        <v>0</v>
      </c>
      <c r="C53" s="8">
        <f>IF(B51&gt;0,B53/B51*100,0)</f>
        <v>0</v>
      </c>
    </row>
    <row r="54" spans="1:3" ht="24" customHeight="1" x14ac:dyDescent="0.3">
      <c r="A54" s="7" t="s">
        <v>219</v>
      </c>
      <c r="B54" s="7">
        <f>COUNTIF(I5:I46,"On Hold")</f>
        <v>0</v>
      </c>
      <c r="C54" s="8">
        <f>IF(B51&gt;0,B54/B51*100,0)</f>
        <v>0</v>
      </c>
    </row>
    <row r="55" spans="1:3" ht="24" customHeight="1" x14ac:dyDescent="0.3">
      <c r="A55" s="7" t="s">
        <v>220</v>
      </c>
      <c r="B55" s="7">
        <f>COUNTIF(I5:I46,"Blocker")</f>
        <v>0</v>
      </c>
      <c r="C55" s="8">
        <f>IF(B51&gt;0,B55/B51*100,0)</f>
        <v>0</v>
      </c>
    </row>
  </sheetData>
  <autoFilter ref="A4:K46" xr:uid="{00000000-0009-0000-0000-000000000000}"/>
  <mergeCells count="3">
    <mergeCell ref="A1:K1"/>
    <mergeCell ref="A2:K2"/>
    <mergeCell ref="A49:C49"/>
  </mergeCells>
  <conditionalFormatting sqref="A51:A55">
    <cfRule type="cellIs" dxfId="14" priority="13" operator="equal">
      <formula>"Passed"</formula>
    </cfRule>
    <cfRule type="cellIs" dxfId="13" priority="14" operator="equal">
      <formula>"Failed"</formula>
    </cfRule>
    <cfRule type="cellIs" dxfId="12" priority="15" operator="equal">
      <formula>"On Hold"</formula>
    </cfRule>
    <cfRule type="cellIs" dxfId="11" priority="16" operator="equal">
      <formula>"Blocker"</formula>
    </cfRule>
  </conditionalFormatting>
  <conditionalFormatting sqref="C5:C96">
    <cfRule type="cellIs" dxfId="10" priority="6" operator="equal">
      <formula>"High"</formula>
    </cfRule>
    <cfRule type="cellIs" dxfId="9" priority="7" operator="equal">
      <formula>"Medium"</formula>
    </cfRule>
    <cfRule type="cellIs" dxfId="8" priority="8" operator="equal">
      <formula>"Low"</formula>
    </cfRule>
  </conditionalFormatting>
  <conditionalFormatting sqref="D5:D96">
    <cfRule type="cellIs" dxfId="7" priority="9" operator="equal">
      <formula>"Critical"</formula>
    </cfRule>
    <cfRule type="cellIs" dxfId="6" priority="10" operator="equal">
      <formula>"Major"</formula>
    </cfRule>
    <cfRule type="cellIs" dxfId="5" priority="11" operator="equal">
      <formula>"Minor"</formula>
    </cfRule>
    <cfRule type="cellIs" dxfId="4" priority="12" operator="equal">
      <formula>"Trivial"</formula>
    </cfRule>
  </conditionalFormatting>
  <conditionalFormatting sqref="I5:I96">
    <cfRule type="cellIs" dxfId="3" priority="2" operator="equal">
      <formula>"Passed"</formula>
    </cfRule>
    <cfRule type="cellIs" dxfId="2" priority="3" operator="equal">
      <formula>"Failed"</formula>
    </cfRule>
    <cfRule type="cellIs" dxfId="1" priority="4" operator="equal">
      <formula>"On Hold"</formula>
    </cfRule>
    <cfRule type="cellIs" dxfId="0" priority="5" operator="equal">
      <formula>"Blocker"</formula>
    </cfRule>
  </conditionalFormatting>
  <dataValidations count="3">
    <dataValidation type="list" allowBlank="1" errorTitle="Invalid Status" error="Please select: Passed, Failed, On Hold, or Blocker" promptTitle="Test Status" prompt="Select test status" sqref="I5:I96" xr:uid="{00000000-0002-0000-0000-000000000000}">
      <formula1>"Passed,Failed,On Hold,Blocker"</formula1>
      <formula2>0</formula2>
    </dataValidation>
    <dataValidation type="list" allowBlank="1" sqref="C5:C96" xr:uid="{00000000-0002-0000-0000-000001000000}">
      <formula1>"High,Medium,Low"</formula1>
      <formula2>0</formula2>
    </dataValidation>
    <dataValidation type="list" allowBlank="1" sqref="D5:D96" xr:uid="{00000000-0002-0000-0000-000002000000}">
      <formula1>"Critical,Major,Minor,Trivial"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208522T Sachini</cp:lastModifiedBy>
  <cp:revision>0</cp:revision>
  <dcterms:created xsi:type="dcterms:W3CDTF">2026-05-03T20:19:12Z</dcterms:created>
  <dcterms:modified xsi:type="dcterms:W3CDTF">2026-05-05T19:11:06Z</dcterms:modified>
  <dc:language>en-US</dc:language>
</cp:coreProperties>
</file>